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scocharlie/Desktop/Dissertation/"/>
    </mc:Choice>
  </mc:AlternateContent>
  <xr:revisionPtr revIDLastSave="0" documentId="13_ncr:1_{24DD85E0-0FB6-B84C-AC8D-1B0996FA0F14}" xr6:coauthVersionLast="47" xr6:coauthVersionMax="47" xr10:uidLastSave="{00000000-0000-0000-0000-000000000000}"/>
  <bookViews>
    <workbookView xWindow="0" yWindow="0" windowWidth="28800" windowHeight="18000" xr2:uid="{22E7696D-6D87-A84E-B308-82F0EB3DD2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F2" i="1" s="1"/>
  <c r="D4" i="1"/>
  <c r="F4" i="1" s="1"/>
  <c r="D5" i="1"/>
  <c r="F5" i="1" s="1"/>
  <c r="D6" i="1"/>
  <c r="F6" i="1" s="1"/>
  <c r="D7" i="1"/>
  <c r="F7" i="1" s="1"/>
  <c r="D8" i="1"/>
  <c r="F8" i="1" s="1"/>
  <c r="D9" i="1"/>
  <c r="F9" i="1" s="1"/>
  <c r="D10" i="1"/>
  <c r="F10" i="1" s="1"/>
  <c r="D11" i="1"/>
  <c r="F11" i="1" s="1"/>
  <c r="D12" i="1"/>
  <c r="F12" i="1" s="1"/>
  <c r="D13" i="1"/>
  <c r="F13" i="1" s="1"/>
  <c r="D14" i="1"/>
  <c r="F14" i="1" s="1"/>
  <c r="D15" i="1"/>
  <c r="F15" i="1" s="1"/>
  <c r="D16" i="1"/>
  <c r="F16" i="1" s="1"/>
  <c r="D17" i="1"/>
  <c r="F17" i="1" s="1"/>
  <c r="D18" i="1"/>
  <c r="F18" i="1" s="1"/>
  <c r="D19" i="1"/>
  <c r="F19" i="1" s="1"/>
  <c r="D20" i="1"/>
  <c r="F20" i="1" s="1"/>
  <c r="D21" i="1"/>
  <c r="F21" i="1" s="1"/>
  <c r="D22" i="1"/>
  <c r="F22" i="1" s="1"/>
  <c r="D23" i="1"/>
  <c r="F23" i="1" s="1"/>
  <c r="D24" i="1"/>
  <c r="F24" i="1" s="1"/>
  <c r="D25" i="1"/>
  <c r="F25" i="1" s="1"/>
  <c r="D26" i="1"/>
  <c r="F26" i="1" s="1"/>
  <c r="D27" i="1"/>
  <c r="F27" i="1" s="1"/>
  <c r="D28" i="1"/>
  <c r="F28" i="1" s="1"/>
  <c r="D29" i="1"/>
  <c r="F29" i="1" s="1"/>
  <c r="D30" i="1"/>
  <c r="F30" i="1" s="1"/>
  <c r="D31" i="1"/>
  <c r="F31" i="1" s="1"/>
  <c r="D32" i="1"/>
  <c r="F32" i="1" s="1"/>
  <c r="D33" i="1"/>
  <c r="F33" i="1" s="1"/>
  <c r="D34" i="1"/>
  <c r="F34" i="1" s="1"/>
  <c r="D35" i="1"/>
  <c r="F35" i="1" s="1"/>
  <c r="D36" i="1"/>
  <c r="F36" i="1" s="1"/>
  <c r="D37" i="1"/>
  <c r="F37" i="1" s="1"/>
  <c r="D38" i="1"/>
  <c r="F38" i="1" s="1"/>
  <c r="D39" i="1"/>
  <c r="F39" i="1" s="1"/>
  <c r="D40" i="1"/>
  <c r="F40" i="1" s="1"/>
  <c r="D41" i="1"/>
  <c r="F41" i="1" s="1"/>
  <c r="D42" i="1"/>
  <c r="F42" i="1" s="1"/>
  <c r="D43" i="1"/>
  <c r="F43" i="1" s="1"/>
  <c r="D44" i="1"/>
  <c r="F44" i="1" s="1"/>
  <c r="D45" i="1"/>
  <c r="F45" i="1" s="1"/>
  <c r="D46" i="1"/>
  <c r="F46" i="1" s="1"/>
  <c r="D47" i="1"/>
  <c r="F47" i="1" s="1"/>
  <c r="D48" i="1"/>
  <c r="F48" i="1" s="1"/>
  <c r="D49" i="1"/>
  <c r="F49" i="1" s="1"/>
  <c r="D50" i="1"/>
  <c r="F50" i="1" s="1"/>
  <c r="D51" i="1"/>
  <c r="F51" i="1" s="1"/>
  <c r="D52" i="1"/>
  <c r="F52" i="1" s="1"/>
  <c r="D53" i="1"/>
  <c r="F53" i="1" s="1"/>
  <c r="D54" i="1"/>
  <c r="F54" i="1" s="1"/>
  <c r="D55" i="1"/>
  <c r="F55" i="1" s="1"/>
  <c r="D56" i="1"/>
  <c r="F56" i="1" s="1"/>
  <c r="D57" i="1"/>
  <c r="F57" i="1" s="1"/>
  <c r="D58" i="1"/>
  <c r="F58" i="1" s="1"/>
  <c r="D59" i="1"/>
  <c r="F59" i="1" s="1"/>
  <c r="D60" i="1"/>
  <c r="F60" i="1" s="1"/>
  <c r="D61" i="1"/>
  <c r="F61" i="1" s="1"/>
  <c r="D62" i="1"/>
  <c r="F62" i="1" s="1"/>
  <c r="D63" i="1"/>
  <c r="F63" i="1" s="1"/>
  <c r="D64" i="1"/>
  <c r="F64" i="1" s="1"/>
  <c r="D65" i="1"/>
  <c r="F65" i="1" s="1"/>
  <c r="D66" i="1"/>
  <c r="F66" i="1" s="1"/>
  <c r="D67" i="1"/>
  <c r="F67" i="1" s="1"/>
  <c r="D68" i="1"/>
  <c r="F68" i="1" s="1"/>
  <c r="D69" i="1"/>
  <c r="F69" i="1" s="1"/>
  <c r="D70" i="1"/>
  <c r="F70" i="1" s="1"/>
  <c r="D71" i="1"/>
  <c r="F71" i="1" s="1"/>
  <c r="D72" i="1"/>
  <c r="F72" i="1" s="1"/>
  <c r="D73" i="1"/>
  <c r="F73" i="1" s="1"/>
  <c r="D74" i="1"/>
  <c r="F74" i="1" s="1"/>
  <c r="D75" i="1"/>
  <c r="F75" i="1" s="1"/>
  <c r="D76" i="1"/>
  <c r="F76" i="1" s="1"/>
  <c r="D77" i="1"/>
  <c r="F77" i="1" s="1"/>
  <c r="D78" i="1"/>
  <c r="F78" i="1" s="1"/>
  <c r="D79" i="1"/>
  <c r="F79" i="1" s="1"/>
  <c r="D80" i="1"/>
  <c r="F80" i="1" s="1"/>
  <c r="D81" i="1"/>
  <c r="F81" i="1" s="1"/>
  <c r="D82" i="1"/>
  <c r="F82" i="1" s="1"/>
  <c r="D83" i="1"/>
  <c r="F83" i="1" s="1"/>
  <c r="D84" i="1"/>
  <c r="F84" i="1" s="1"/>
  <c r="D85" i="1"/>
  <c r="F85" i="1" s="1"/>
  <c r="D86" i="1"/>
  <c r="F86" i="1" s="1"/>
  <c r="D87" i="1"/>
  <c r="F87" i="1" s="1"/>
  <c r="D88" i="1"/>
  <c r="F88" i="1" s="1"/>
  <c r="D89" i="1"/>
  <c r="F89" i="1" s="1"/>
  <c r="D90" i="1"/>
  <c r="F90" i="1" s="1"/>
  <c r="D91" i="1"/>
  <c r="F91" i="1" s="1"/>
  <c r="D92" i="1"/>
  <c r="F92" i="1" s="1"/>
  <c r="D93" i="1"/>
  <c r="F93" i="1" s="1"/>
  <c r="D94" i="1"/>
  <c r="F94" i="1" s="1"/>
  <c r="D95" i="1"/>
  <c r="F95" i="1" s="1"/>
  <c r="D96" i="1"/>
  <c r="F96" i="1" s="1"/>
  <c r="D97" i="1"/>
  <c r="F97" i="1" s="1"/>
  <c r="D98" i="1"/>
  <c r="F98" i="1" s="1"/>
  <c r="D99" i="1"/>
  <c r="F99" i="1" s="1"/>
  <c r="D100" i="1"/>
  <c r="F100" i="1" s="1"/>
  <c r="D101" i="1"/>
  <c r="F101" i="1" s="1"/>
  <c r="D102" i="1"/>
  <c r="F102" i="1" s="1"/>
  <c r="D103" i="1"/>
  <c r="F103" i="1" s="1"/>
  <c r="D104" i="1"/>
  <c r="F104" i="1" s="1"/>
  <c r="D105" i="1"/>
  <c r="F105" i="1" s="1"/>
  <c r="D106" i="1"/>
  <c r="F106" i="1" s="1"/>
  <c r="D107" i="1"/>
  <c r="F107" i="1" s="1"/>
  <c r="D108" i="1"/>
  <c r="F108" i="1" s="1"/>
  <c r="D3" i="1"/>
  <c r="F3" i="1" s="1"/>
</calcChain>
</file>

<file path=xl/sharedStrings.xml><?xml version="1.0" encoding="utf-8"?>
<sst xmlns="http://schemas.openxmlformats.org/spreadsheetml/2006/main" count="114" uniqueCount="114">
  <si>
    <t xml:space="preserve">Deflator (Indices) </t>
  </si>
  <si>
    <t>Exchange Rate to USD</t>
  </si>
  <si>
    <t>Real GDP  (Billion Ruble)</t>
  </si>
  <si>
    <t>Nominal GDP (Billion Ruble)</t>
  </si>
  <si>
    <t>Real GDP (Billion USD)</t>
  </si>
  <si>
    <t>1998 Q1</t>
  </si>
  <si>
    <t>1999 Q1</t>
  </si>
  <si>
    <t>2000 Q1</t>
  </si>
  <si>
    <t>2001 Q1</t>
  </si>
  <si>
    <t>2002 Q1</t>
  </si>
  <si>
    <t>2003 Q1</t>
  </si>
  <si>
    <t>2004 Q1</t>
  </si>
  <si>
    <t>2005 Q1</t>
  </si>
  <si>
    <t>2006 Q1</t>
  </si>
  <si>
    <t>2007 Q1</t>
  </si>
  <si>
    <t>2008 Q1</t>
  </si>
  <si>
    <t>1998 Q2</t>
  </si>
  <si>
    <t>1998 Q3</t>
  </si>
  <si>
    <t>1998 Q4</t>
  </si>
  <si>
    <t>1999 Q2</t>
  </si>
  <si>
    <t>1999 Q3</t>
  </si>
  <si>
    <t>1999 Q4</t>
  </si>
  <si>
    <t>2000 Q2</t>
  </si>
  <si>
    <t>2000 Q3</t>
  </si>
  <si>
    <t>2000 Q4</t>
  </si>
  <si>
    <t>2001 Q2</t>
  </si>
  <si>
    <t>2001 Q3</t>
  </si>
  <si>
    <t>2001 Q4</t>
  </si>
  <si>
    <t>2002 Q2</t>
  </si>
  <si>
    <t>2002 Q3</t>
  </si>
  <si>
    <t>2002 Q4</t>
  </si>
  <si>
    <t>2003 Q2</t>
  </si>
  <si>
    <t>2003 Q3</t>
  </si>
  <si>
    <t>2003 Q4</t>
  </si>
  <si>
    <t>2004 Q2</t>
  </si>
  <si>
    <t>2004 Q3</t>
  </si>
  <si>
    <t>2004 Q4</t>
  </si>
  <si>
    <t>2005 Q2</t>
  </si>
  <si>
    <t>2005 Q3</t>
  </si>
  <si>
    <t>2005 Q4</t>
  </si>
  <si>
    <t>2006 Q2</t>
  </si>
  <si>
    <t>2006 Q3</t>
  </si>
  <si>
    <t>2006 Q4</t>
  </si>
  <si>
    <t>2007 Q2</t>
  </si>
  <si>
    <t>2007 Q3</t>
  </si>
  <si>
    <t>2007 Q4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</si>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</sst>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name val="Arial"/>
      <family val="2"/>
      <charset val="204"/>
    </font>
    <font>
      <sz val="8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0" fontId="4" fillId="0" borderId="2" xfId="0" applyFont="1" applyBorder="1"/>
    <xf numFmtId="0" fontId="4" fillId="0" borderId="1" xfId="0" applyFont="1" applyBorder="1"/>
    <xf numFmtId="0" fontId="5" fillId="0" borderId="2" xfId="0" applyFont="1" applyBorder="1"/>
    <xf numFmtId="0" fontId="5" fillId="0" borderId="1" xfId="0" applyFont="1" applyBorder="1"/>
    <xf numFmtId="0" fontId="5" fillId="0" borderId="0" xfId="0" applyFont="1"/>
    <xf numFmtId="0" fontId="4" fillId="0" borderId="1" xfId="0" applyFont="1" applyBorder="1" applyAlignment="1">
      <alignment horizontal="left"/>
    </xf>
    <xf numFmtId="164" fontId="6" fillId="0" borderId="1" xfId="1" applyNumberFormat="1" applyFont="1" applyBorder="1" applyAlignment="1">
      <alignment horizontal="right" vertical="center"/>
    </xf>
    <xf numFmtId="0" fontId="5" fillId="2" borderId="1" xfId="0" applyFont="1" applyFill="1" applyBorder="1"/>
    <xf numFmtId="164" fontId="6" fillId="2" borderId="1" xfId="1" applyNumberFormat="1" applyFont="1" applyFill="1" applyBorder="1" applyAlignment="1">
      <alignment horizontal="right" vertical="center"/>
    </xf>
    <xf numFmtId="164" fontId="6" fillId="0" borderId="1" xfId="0" applyNumberFormat="1" applyFont="1" applyBorder="1" applyAlignment="1">
      <alignment horizontal="right" vertical="center"/>
    </xf>
    <xf numFmtId="164" fontId="6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/>
    </xf>
    <xf numFmtId="0" fontId="1" fillId="0" borderId="0" xfId="0" applyFont="1"/>
    <xf numFmtId="0" fontId="5" fillId="2" borderId="2" xfId="0" applyFont="1" applyFill="1" applyBorder="1"/>
    <xf numFmtId="2" fontId="4" fillId="0" borderId="1" xfId="0" applyNumberFormat="1" applyFont="1" applyBorder="1"/>
    <xf numFmtId="2" fontId="5" fillId="0" borderId="1" xfId="0" applyNumberFormat="1" applyFont="1" applyBorder="1"/>
    <xf numFmtId="2" fontId="5" fillId="2" borderId="1" xfId="0" applyNumberFormat="1" applyFont="1" applyFill="1" applyBorder="1"/>
    <xf numFmtId="2" fontId="5" fillId="0" borderId="0" xfId="0" applyNumberFormat="1" applyFont="1"/>
  </cellXfs>
  <cellStyles count="2">
    <cellStyle name="Normal" xfId="0" builtinId="0"/>
    <cellStyle name="Обычный 2" xfId="1" xr:uid="{83065BD0-3620-9C4C-9384-56EC3850E0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6A5A1-5992-4F45-BB83-60439DBA3608}">
  <dimension ref="A1:K122"/>
  <sheetViews>
    <sheetView tabSelected="1" zoomScale="85" zoomScaleNormal="134" workbookViewId="0">
      <selection sqref="A1:A1048576"/>
    </sheetView>
  </sheetViews>
  <sheetFormatPr baseColWidth="10" defaultRowHeight="16" x14ac:dyDescent="0.2"/>
  <cols>
    <col min="1" max="1" width="10.83203125" style="5"/>
    <col min="2" max="2" width="34.1640625" style="12" customWidth="1"/>
    <col min="3" max="3" width="17.1640625" style="5" customWidth="1"/>
    <col min="4" max="4" width="24.1640625" style="5" customWidth="1"/>
    <col min="5" max="5" width="22.33203125" style="5" customWidth="1"/>
    <col min="6" max="6" width="23.5" style="18" customWidth="1"/>
    <col min="9" max="10" width="10.83203125" style="5"/>
    <col min="11" max="11" width="23.5" style="18" customWidth="1"/>
  </cols>
  <sheetData>
    <row r="1" spans="1:11" x14ac:dyDescent="0.2">
      <c r="A1" s="2" t="s">
        <v>113</v>
      </c>
      <c r="B1" s="6" t="s">
        <v>3</v>
      </c>
      <c r="C1" s="2" t="s">
        <v>0</v>
      </c>
      <c r="D1" s="1" t="s">
        <v>2</v>
      </c>
      <c r="E1" s="1" t="s">
        <v>1</v>
      </c>
      <c r="F1" s="15" t="s">
        <v>4</v>
      </c>
      <c r="G1" s="13"/>
      <c r="H1" s="13"/>
      <c r="I1"/>
      <c r="J1"/>
      <c r="K1"/>
    </row>
    <row r="2" spans="1:11" x14ac:dyDescent="0.2">
      <c r="A2" s="4" t="s">
        <v>5</v>
      </c>
      <c r="B2" s="7">
        <v>550.8655</v>
      </c>
      <c r="C2" s="7">
        <v>109.13226575677541</v>
      </c>
      <c r="D2" s="3">
        <f xml:space="preserve"> B2 / C2 * 100</f>
        <v>504.76868246071376</v>
      </c>
      <c r="E2" s="3">
        <v>0.16470000000000001</v>
      </c>
      <c r="F2" s="16">
        <f>D2*E2</f>
        <v>83.135402001279559</v>
      </c>
      <c r="I2"/>
      <c r="J2"/>
      <c r="K2"/>
    </row>
    <row r="3" spans="1:11" x14ac:dyDescent="0.2">
      <c r="A3" s="4" t="s">
        <v>16</v>
      </c>
      <c r="B3" s="7">
        <v>602.45300000000009</v>
      </c>
      <c r="C3" s="7">
        <v>109.61471166356674</v>
      </c>
      <c r="D3" s="3">
        <f xml:space="preserve"> B3 / C3 * 100</f>
        <v>549.60961978267085</v>
      </c>
      <c r="E3" s="3">
        <v>0.16189999999999999</v>
      </c>
      <c r="F3" s="16">
        <f t="shared" ref="F3:F66" si="0">D3*E3</f>
        <v>88.981797442814397</v>
      </c>
      <c r="I3"/>
      <c r="J3"/>
      <c r="K3"/>
    </row>
    <row r="4" spans="1:11" x14ac:dyDescent="0.2">
      <c r="A4" s="4" t="s">
        <v>17</v>
      </c>
      <c r="B4" s="7">
        <v>675.45709999999997</v>
      </c>
      <c r="C4" s="7">
        <v>116.82065660634602</v>
      </c>
      <c r="D4" s="3">
        <f t="shared" ref="D4:D67" si="1" xml:space="preserve"> B4 / C4 * 100</f>
        <v>578.20005435862902</v>
      </c>
      <c r="E4" s="3">
        <v>0.13039999999999999</v>
      </c>
      <c r="F4" s="16">
        <f t="shared" si="0"/>
        <v>75.397287088365218</v>
      </c>
      <c r="I4"/>
      <c r="J4"/>
      <c r="K4"/>
    </row>
    <row r="5" spans="1:11" x14ac:dyDescent="0.2">
      <c r="A5" s="4" t="s">
        <v>18</v>
      </c>
      <c r="B5" s="7">
        <v>800.84739999999999</v>
      </c>
      <c r="C5" s="7">
        <v>137.50818019026414</v>
      </c>
      <c r="D5" s="3">
        <f t="shared" si="1"/>
        <v>582.39982442637381</v>
      </c>
      <c r="E5" s="3">
        <v>6.83E-2</v>
      </c>
      <c r="F5" s="16">
        <f t="shared" si="0"/>
        <v>39.777908008321333</v>
      </c>
      <c r="I5"/>
      <c r="J5"/>
      <c r="K5"/>
    </row>
    <row r="6" spans="1:11" x14ac:dyDescent="0.2">
      <c r="A6" s="8" t="s">
        <v>6</v>
      </c>
      <c r="B6" s="9">
        <v>901.34680000000014</v>
      </c>
      <c r="C6" s="9">
        <v>166.64169156187467</v>
      </c>
      <c r="D6" s="14">
        <f t="shared" si="1"/>
        <v>540.88913257660181</v>
      </c>
      <c r="E6" s="14">
        <v>4.1700000000000001E-2</v>
      </c>
      <c r="F6" s="17">
        <f t="shared" si="0"/>
        <v>22.555076828444296</v>
      </c>
      <c r="I6"/>
      <c r="J6"/>
      <c r="K6"/>
    </row>
    <row r="7" spans="1:11" x14ac:dyDescent="0.2">
      <c r="A7" s="8" t="s">
        <v>19</v>
      </c>
      <c r="B7" s="9">
        <v>1101.5012000000002</v>
      </c>
      <c r="C7" s="9">
        <v>177.25207098213244</v>
      </c>
      <c r="D7" s="14">
        <f t="shared" si="1"/>
        <v>621.43206220198965</v>
      </c>
      <c r="E7" s="14">
        <v>4.0800000000000003E-2</v>
      </c>
      <c r="F7" s="17">
        <f t="shared" si="0"/>
        <v>25.354428137841179</v>
      </c>
      <c r="I7"/>
      <c r="J7"/>
      <c r="K7"/>
    </row>
    <row r="8" spans="1:11" x14ac:dyDescent="0.2">
      <c r="A8" s="8" t="s">
        <v>20</v>
      </c>
      <c r="B8" s="9">
        <v>1373.0663000000002</v>
      </c>
      <c r="C8" s="9">
        <v>182.3752137825598</v>
      </c>
      <c r="D8" s="14">
        <f t="shared" si="1"/>
        <v>752.87988511260289</v>
      </c>
      <c r="E8" s="14">
        <v>3.8800000000000001E-2</v>
      </c>
      <c r="F8" s="17">
        <f t="shared" si="0"/>
        <v>29.211739542368992</v>
      </c>
      <c r="I8"/>
      <c r="J8"/>
      <c r="K8"/>
    </row>
    <row r="9" spans="1:11" x14ac:dyDescent="0.2">
      <c r="A9" s="8" t="s">
        <v>21</v>
      </c>
      <c r="B9" s="9">
        <v>1447.3191999999999</v>
      </c>
      <c r="C9" s="9">
        <v>161.24499926436411</v>
      </c>
      <c r="D9" s="14">
        <f t="shared" si="1"/>
        <v>897.59013092064561</v>
      </c>
      <c r="E9" s="14">
        <v>3.8199999999999998E-2</v>
      </c>
      <c r="F9" s="17">
        <f t="shared" si="0"/>
        <v>34.287943001168664</v>
      </c>
      <c r="I9"/>
      <c r="J9"/>
      <c r="K9"/>
    </row>
    <row r="10" spans="1:11" x14ac:dyDescent="0.2">
      <c r="A10" s="4" t="s">
        <v>7</v>
      </c>
      <c r="B10" s="7">
        <v>1527.4226999999994</v>
      </c>
      <c r="C10" s="7">
        <v>152.08864641361029</v>
      </c>
      <c r="D10" s="3">
        <f t="shared" si="1"/>
        <v>1004.2976487844602</v>
      </c>
      <c r="E10" s="3">
        <v>3.5000000000000003E-2</v>
      </c>
      <c r="F10" s="16">
        <f t="shared" si="0"/>
        <v>35.150417707456107</v>
      </c>
      <c r="I10"/>
      <c r="J10"/>
      <c r="K10"/>
    </row>
    <row r="11" spans="1:11" x14ac:dyDescent="0.2">
      <c r="A11" s="4" t="s">
        <v>22</v>
      </c>
      <c r="B11" s="7">
        <v>1696.6486000000002</v>
      </c>
      <c r="C11" s="7">
        <v>139.73290401776131</v>
      </c>
      <c r="D11" s="3">
        <f t="shared" si="1"/>
        <v>1214.2083583866122</v>
      </c>
      <c r="E11" s="3">
        <v>3.5299999999999998E-2</v>
      </c>
      <c r="F11" s="16">
        <f t="shared" si="0"/>
        <v>42.861555051047411</v>
      </c>
      <c r="I11"/>
      <c r="J11"/>
      <c r="K11"/>
    </row>
    <row r="12" spans="1:11" x14ac:dyDescent="0.2">
      <c r="A12" s="4" t="s">
        <v>23</v>
      </c>
      <c r="B12" s="7">
        <v>2037.845</v>
      </c>
      <c r="C12" s="7">
        <v>134.25521202649546</v>
      </c>
      <c r="D12" s="3">
        <f t="shared" si="1"/>
        <v>1517.8889290330335</v>
      </c>
      <c r="E12" s="3">
        <v>3.5900000000000001E-2</v>
      </c>
      <c r="F12" s="16">
        <f t="shared" si="0"/>
        <v>54.492212552285906</v>
      </c>
      <c r="I12"/>
      <c r="J12"/>
      <c r="K12"/>
    </row>
    <row r="13" spans="1:11" x14ac:dyDescent="0.2">
      <c r="A13" s="4" t="s">
        <v>24</v>
      </c>
      <c r="B13" s="7">
        <v>2043.7299999999998</v>
      </c>
      <c r="C13" s="7">
        <v>130.42955612832648</v>
      </c>
      <c r="D13" s="3">
        <f t="shared" si="1"/>
        <v>1566.9224527523679</v>
      </c>
      <c r="E13" s="3">
        <v>3.5299999999999998E-2</v>
      </c>
      <c r="F13" s="16">
        <f t="shared" si="0"/>
        <v>55.312362582158585</v>
      </c>
      <c r="I13"/>
      <c r="J13"/>
      <c r="K13"/>
    </row>
    <row r="14" spans="1:11" x14ac:dyDescent="0.2">
      <c r="A14" s="8" t="s">
        <v>8</v>
      </c>
      <c r="B14" s="9">
        <v>1900.8727999999999</v>
      </c>
      <c r="C14" s="9">
        <v>118.87918259122408</v>
      </c>
      <c r="D14" s="14">
        <f t="shared" si="1"/>
        <v>1598.995516764536</v>
      </c>
      <c r="E14" s="14">
        <v>3.49E-2</v>
      </c>
      <c r="F14" s="17">
        <f t="shared" si="0"/>
        <v>55.804943535082309</v>
      </c>
      <c r="I14"/>
      <c r="J14"/>
      <c r="K14"/>
    </row>
    <row r="15" spans="1:11" x14ac:dyDescent="0.2">
      <c r="A15" s="8" t="s">
        <v>25</v>
      </c>
      <c r="B15" s="9">
        <v>2105.0056999999993</v>
      </c>
      <c r="C15" s="9">
        <v>118.10385955885896</v>
      </c>
      <c r="D15" s="14">
        <f t="shared" si="1"/>
        <v>1782.3343859062761</v>
      </c>
      <c r="E15" s="14">
        <v>3.4099999999999998E-2</v>
      </c>
      <c r="F15" s="17">
        <f t="shared" si="0"/>
        <v>60.777602559404009</v>
      </c>
      <c r="I15"/>
      <c r="J15"/>
      <c r="K15"/>
    </row>
    <row r="16" spans="1:11" x14ac:dyDescent="0.2">
      <c r="A16" s="8" t="s">
        <v>26</v>
      </c>
      <c r="B16" s="9">
        <v>2487.8722000000002</v>
      </c>
      <c r="C16" s="9">
        <v>115.14132881760739</v>
      </c>
      <c r="D16" s="14">
        <f t="shared" si="1"/>
        <v>2160.7117318760311</v>
      </c>
      <c r="E16" s="14">
        <v>3.4000000000000002E-2</v>
      </c>
      <c r="F16" s="17">
        <f t="shared" si="0"/>
        <v>73.464198883785059</v>
      </c>
      <c r="I16"/>
      <c r="J16"/>
      <c r="K16"/>
    </row>
    <row r="17" spans="1:11" x14ac:dyDescent="0.2">
      <c r="A17" s="8" t="s">
        <v>27</v>
      </c>
      <c r="B17" s="9">
        <v>2449.8317000000002</v>
      </c>
      <c r="C17" s="9">
        <v>114.66404846986357</v>
      </c>
      <c r="D17" s="14">
        <f t="shared" si="1"/>
        <v>2136.5299173470876</v>
      </c>
      <c r="E17" s="14">
        <v>3.3500000000000002E-2</v>
      </c>
      <c r="F17" s="17">
        <f t="shared" si="0"/>
        <v>71.573752231127443</v>
      </c>
      <c r="I17"/>
      <c r="J17"/>
      <c r="K17"/>
    </row>
    <row r="18" spans="1:11" x14ac:dyDescent="0.2">
      <c r="A18" s="4" t="s">
        <v>9</v>
      </c>
      <c r="B18" s="7">
        <v>2262.1866084403609</v>
      </c>
      <c r="C18" s="7">
        <v>114.65296086936851</v>
      </c>
      <c r="D18" s="3">
        <f t="shared" si="1"/>
        <v>1973.0729946153031</v>
      </c>
      <c r="E18" s="3">
        <v>3.2599999999999997E-2</v>
      </c>
      <c r="F18" s="16">
        <f t="shared" si="0"/>
        <v>64.322179624458869</v>
      </c>
      <c r="I18"/>
      <c r="J18"/>
      <c r="K18"/>
    </row>
    <row r="19" spans="1:11" x14ac:dyDescent="0.2">
      <c r="A19" s="4" t="s">
        <v>28</v>
      </c>
      <c r="B19" s="7">
        <v>2528.6709777063229</v>
      </c>
      <c r="C19" s="7">
        <v>115.05728718571908</v>
      </c>
      <c r="D19" s="3">
        <f t="shared" si="1"/>
        <v>2197.7495207449856</v>
      </c>
      <c r="E19" s="3">
        <v>3.1800000000000002E-2</v>
      </c>
      <c r="F19" s="16">
        <f t="shared" si="0"/>
        <v>69.88843475969054</v>
      </c>
      <c r="I19"/>
      <c r="J19"/>
      <c r="K19"/>
    </row>
    <row r="20" spans="1:11" x14ac:dyDescent="0.2">
      <c r="A20" s="4" t="s">
        <v>29</v>
      </c>
      <c r="B20" s="7">
        <v>3012.8060670376435</v>
      </c>
      <c r="C20" s="7">
        <v>115.96325710200584</v>
      </c>
      <c r="D20" s="3">
        <f t="shared" si="1"/>
        <v>2598.0695457591887</v>
      </c>
      <c r="E20" s="3">
        <v>3.1699999999999999E-2</v>
      </c>
      <c r="F20" s="16">
        <f t="shared" si="0"/>
        <v>82.358804600566273</v>
      </c>
      <c r="I20"/>
      <c r="J20"/>
      <c r="K20"/>
    </row>
    <row r="21" spans="1:11" x14ac:dyDescent="0.2">
      <c r="A21" s="4" t="s">
        <v>30</v>
      </c>
      <c r="B21" s="7">
        <v>3026.8712612516092</v>
      </c>
      <c r="C21" s="7">
        <v>116.37966970920202</v>
      </c>
      <c r="D21" s="3">
        <f t="shared" si="1"/>
        <v>2600.8591266970038</v>
      </c>
      <c r="E21" s="3">
        <v>3.1399999999999997E-2</v>
      </c>
      <c r="F21" s="16">
        <f t="shared" si="0"/>
        <v>81.666976578285912</v>
      </c>
      <c r="I21"/>
      <c r="J21"/>
      <c r="K21"/>
    </row>
    <row r="22" spans="1:11" x14ac:dyDescent="0.2">
      <c r="A22" s="8" t="s">
        <v>10</v>
      </c>
      <c r="B22" s="9">
        <v>2851.1054914710994</v>
      </c>
      <c r="C22" s="9">
        <v>117.12614798835963</v>
      </c>
      <c r="D22" s="14">
        <f t="shared" si="1"/>
        <v>2434.217756187501</v>
      </c>
      <c r="E22" s="14">
        <v>3.1699999999999999E-2</v>
      </c>
      <c r="F22" s="17">
        <f t="shared" si="0"/>
        <v>77.164702871143774</v>
      </c>
      <c r="I22"/>
      <c r="J22"/>
      <c r="K22"/>
    </row>
    <row r="23" spans="1:11" x14ac:dyDescent="0.2">
      <c r="A23" s="8" t="s">
        <v>31</v>
      </c>
      <c r="B23" s="9">
        <v>3101.6935991534233</v>
      </c>
      <c r="C23" s="9">
        <v>113.83083650196259</v>
      </c>
      <c r="D23" s="14">
        <f t="shared" si="1"/>
        <v>2724.8272036549129</v>
      </c>
      <c r="E23" s="14">
        <v>3.2399999999999998E-2</v>
      </c>
      <c r="F23" s="17">
        <f t="shared" si="0"/>
        <v>88.284401398419178</v>
      </c>
      <c r="I23"/>
      <c r="J23"/>
      <c r="K23"/>
    </row>
    <row r="24" spans="1:11" x14ac:dyDescent="0.2">
      <c r="A24" s="8" t="s">
        <v>32</v>
      </c>
      <c r="B24" s="9">
        <v>3600.220823900323</v>
      </c>
      <c r="C24" s="9">
        <v>113.4307838877377</v>
      </c>
      <c r="D24" s="14">
        <f t="shared" si="1"/>
        <v>3173.9362988652683</v>
      </c>
      <c r="E24" s="14">
        <v>3.2800000000000003E-2</v>
      </c>
      <c r="F24" s="17">
        <f t="shared" si="0"/>
        <v>104.10511060278081</v>
      </c>
      <c r="I24"/>
      <c r="J24"/>
      <c r="K24"/>
    </row>
    <row r="25" spans="1:11" x14ac:dyDescent="0.2">
      <c r="A25" s="8" t="s">
        <v>33</v>
      </c>
      <c r="B25" s="9">
        <v>3655.2138648971186</v>
      </c>
      <c r="C25" s="9">
        <v>112.09491870624555</v>
      </c>
      <c r="D25" s="14">
        <f t="shared" si="1"/>
        <v>3260.8203004062325</v>
      </c>
      <c r="E25" s="14">
        <v>3.3399999999999999E-2</v>
      </c>
      <c r="F25" s="17">
        <f t="shared" si="0"/>
        <v>108.91139803356816</v>
      </c>
      <c r="I25"/>
      <c r="J25"/>
      <c r="K25"/>
    </row>
    <row r="26" spans="1:11" x14ac:dyDescent="0.2">
      <c r="A26" s="4" t="s">
        <v>11</v>
      </c>
      <c r="B26" s="7">
        <v>3515.656534454914</v>
      </c>
      <c r="C26" s="7">
        <v>114.98249623846455</v>
      </c>
      <c r="D26" s="3">
        <f t="shared" si="1"/>
        <v>3057.5580192342686</v>
      </c>
      <c r="E26" s="3">
        <v>3.5000000000000003E-2</v>
      </c>
      <c r="F26" s="16">
        <f t="shared" si="0"/>
        <v>107.01453067319942</v>
      </c>
      <c r="I26"/>
      <c r="J26"/>
      <c r="K26"/>
    </row>
    <row r="27" spans="1:11" x14ac:dyDescent="0.2">
      <c r="A27" s="4" t="s">
        <v>34</v>
      </c>
      <c r="B27" s="7">
        <v>3971.6079652659473</v>
      </c>
      <c r="C27" s="7">
        <v>118.52904754722906</v>
      </c>
      <c r="D27" s="3">
        <f t="shared" si="1"/>
        <v>3350.746544793943</v>
      </c>
      <c r="E27" s="3">
        <v>3.4500000000000003E-2</v>
      </c>
      <c r="F27" s="16">
        <f t="shared" si="0"/>
        <v>115.60075579539104</v>
      </c>
      <c r="I27"/>
      <c r="J27"/>
      <c r="K27"/>
    </row>
    <row r="28" spans="1:11" x14ac:dyDescent="0.2">
      <c r="A28" s="4" t="s">
        <v>35</v>
      </c>
      <c r="B28" s="7">
        <v>4594.0223040986384</v>
      </c>
      <c r="C28" s="7">
        <v>118.89575956640783</v>
      </c>
      <c r="D28" s="3">
        <f t="shared" si="1"/>
        <v>3863.9076118881271</v>
      </c>
      <c r="E28" s="3">
        <v>3.4200000000000001E-2</v>
      </c>
      <c r="F28" s="16">
        <f t="shared" si="0"/>
        <v>132.14564032657395</v>
      </c>
      <c r="I28"/>
      <c r="J28"/>
      <c r="K28"/>
    </row>
    <row r="29" spans="1:11" x14ac:dyDescent="0.2">
      <c r="A29" s="4" t="s">
        <v>36</v>
      </c>
      <c r="B29" s="7">
        <v>4945.904056180495</v>
      </c>
      <c r="C29" s="7">
        <v>127.3879182948112</v>
      </c>
      <c r="D29" s="3">
        <f t="shared" si="1"/>
        <v>3882.5534810407157</v>
      </c>
      <c r="E29" s="3">
        <v>3.4599999999999999E-2</v>
      </c>
      <c r="F29" s="16">
        <f t="shared" si="0"/>
        <v>134.33635044400876</v>
      </c>
      <c r="I29"/>
      <c r="J29"/>
      <c r="K29"/>
    </row>
    <row r="30" spans="1:11" x14ac:dyDescent="0.2">
      <c r="A30" s="8" t="s">
        <v>12</v>
      </c>
      <c r="B30" s="9">
        <v>4458.6089739829531</v>
      </c>
      <c r="C30" s="9">
        <v>120.1233568409526</v>
      </c>
      <c r="D30" s="14">
        <f t="shared" si="1"/>
        <v>3711.6919566993979</v>
      </c>
      <c r="E30" s="14">
        <v>3.5700000000000003E-2</v>
      </c>
      <c r="F30" s="17">
        <f t="shared" si="0"/>
        <v>132.5074028541685</v>
      </c>
      <c r="I30"/>
      <c r="J30"/>
      <c r="K30"/>
    </row>
    <row r="31" spans="1:11" x14ac:dyDescent="0.2">
      <c r="A31" s="8" t="s">
        <v>37</v>
      </c>
      <c r="B31" s="9">
        <v>5077.8685073150136</v>
      </c>
      <c r="C31" s="9">
        <v>120.60130027692739</v>
      </c>
      <c r="D31" s="14">
        <f t="shared" si="1"/>
        <v>4210.4591705521407</v>
      </c>
      <c r="E31" s="14">
        <v>3.5499999999999997E-2</v>
      </c>
      <c r="F31" s="17">
        <f t="shared" si="0"/>
        <v>149.47130055460099</v>
      </c>
      <c r="I31"/>
      <c r="J31"/>
      <c r="K31"/>
    </row>
    <row r="32" spans="1:11" x14ac:dyDescent="0.2">
      <c r="A32" s="8" t="s">
        <v>38</v>
      </c>
      <c r="B32" s="9">
        <v>5845.237908965355</v>
      </c>
      <c r="C32" s="9">
        <v>120.07814260578617</v>
      </c>
      <c r="D32" s="14">
        <f t="shared" si="1"/>
        <v>4867.8616958251414</v>
      </c>
      <c r="E32" s="14">
        <v>3.5000000000000003E-2</v>
      </c>
      <c r="F32" s="17">
        <f t="shared" si="0"/>
        <v>170.37515935387995</v>
      </c>
      <c r="I32"/>
      <c r="J32"/>
      <c r="K32"/>
    </row>
    <row r="33" spans="1:11" x14ac:dyDescent="0.2">
      <c r="A33" s="8" t="s">
        <v>39</v>
      </c>
      <c r="B33" s="9">
        <v>6228.0500985636545</v>
      </c>
      <c r="C33" s="9">
        <v>116.83329805560638</v>
      </c>
      <c r="D33" s="14">
        <f t="shared" si="1"/>
        <v>5330.7149607292922</v>
      </c>
      <c r="E33" s="14">
        <v>3.5000000000000003E-2</v>
      </c>
      <c r="F33" s="17">
        <f t="shared" si="0"/>
        <v>186.57502362552523</v>
      </c>
      <c r="I33"/>
      <c r="J33"/>
      <c r="K33"/>
    </row>
    <row r="34" spans="1:11" x14ac:dyDescent="0.2">
      <c r="A34" s="4" t="s">
        <v>13</v>
      </c>
      <c r="B34" s="7">
        <v>5792.9485048857468</v>
      </c>
      <c r="C34" s="7">
        <v>121.09057505289394</v>
      </c>
      <c r="D34" s="3">
        <f t="shared" si="1"/>
        <v>4783.9796799670921</v>
      </c>
      <c r="E34" s="3">
        <v>3.56E-2</v>
      </c>
      <c r="F34" s="16">
        <f t="shared" si="0"/>
        <v>170.30967660682848</v>
      </c>
      <c r="I34"/>
      <c r="J34"/>
      <c r="K34"/>
    </row>
    <row r="35" spans="1:11" x14ac:dyDescent="0.2">
      <c r="A35" s="4" t="s">
        <v>40</v>
      </c>
      <c r="B35" s="7">
        <v>6368.0703292722728</v>
      </c>
      <c r="C35" s="7">
        <v>116.03101287455129</v>
      </c>
      <c r="D35" s="3">
        <f t="shared" si="1"/>
        <v>5488.2485048693052</v>
      </c>
      <c r="E35" s="3">
        <v>3.6400000000000002E-2</v>
      </c>
      <c r="F35" s="16">
        <f t="shared" si="0"/>
        <v>199.77224557724273</v>
      </c>
      <c r="I35"/>
      <c r="J35"/>
      <c r="K35"/>
    </row>
    <row r="36" spans="1:11" x14ac:dyDescent="0.2">
      <c r="A36" s="4" t="s">
        <v>41</v>
      </c>
      <c r="B36" s="7">
        <v>7275.8471420383112</v>
      </c>
      <c r="C36" s="7">
        <v>115.05105737819932</v>
      </c>
      <c r="D36" s="3">
        <f t="shared" si="1"/>
        <v>6324.0158828970398</v>
      </c>
      <c r="E36" s="3">
        <v>3.73E-2</v>
      </c>
      <c r="F36" s="16">
        <f t="shared" si="0"/>
        <v>235.88579243205959</v>
      </c>
      <c r="I36"/>
      <c r="J36"/>
      <c r="K36"/>
    </row>
    <row r="37" spans="1:11" x14ac:dyDescent="0.2">
      <c r="A37" s="4" t="s">
        <v>42</v>
      </c>
      <c r="B37" s="7">
        <v>7480.335398903374</v>
      </c>
      <c r="C37" s="7">
        <v>110.31082818874975</v>
      </c>
      <c r="D37" s="3">
        <f t="shared" si="1"/>
        <v>6781.1433580246385</v>
      </c>
      <c r="E37" s="3">
        <v>3.7699999999999997E-2</v>
      </c>
      <c r="F37" s="16">
        <f t="shared" si="0"/>
        <v>255.64910459752886</v>
      </c>
      <c r="I37"/>
      <c r="J37"/>
      <c r="K37"/>
    </row>
    <row r="38" spans="1:11" x14ac:dyDescent="0.2">
      <c r="A38" s="8" t="s">
        <v>14</v>
      </c>
      <c r="B38" s="9">
        <v>6780.2228485849164</v>
      </c>
      <c r="C38" s="9">
        <v>108.3027966454371</v>
      </c>
      <c r="D38" s="14">
        <f t="shared" si="1"/>
        <v>6260.4319173604399</v>
      </c>
      <c r="E38" s="14">
        <v>3.8300000000000001E-2</v>
      </c>
      <c r="F38" s="17">
        <f t="shared" si="0"/>
        <v>239.77454243490484</v>
      </c>
      <c r="I38"/>
      <c r="J38"/>
      <c r="K38"/>
    </row>
    <row r="39" spans="1:11" x14ac:dyDescent="0.2">
      <c r="A39" s="8" t="s">
        <v>43</v>
      </c>
      <c r="B39" s="9">
        <v>7767.5171267478645</v>
      </c>
      <c r="C39" s="9">
        <v>112.29796969017272</v>
      </c>
      <c r="D39" s="14">
        <f t="shared" si="1"/>
        <v>6916.8811761942352</v>
      </c>
      <c r="E39" s="14">
        <v>3.8899999999999997E-2</v>
      </c>
      <c r="F39" s="17">
        <f t="shared" si="0"/>
        <v>269.06667775395573</v>
      </c>
      <c r="I39"/>
      <c r="J39"/>
      <c r="K39"/>
    </row>
    <row r="40" spans="1:11" x14ac:dyDescent="0.2">
      <c r="A40" s="8" t="s">
        <v>44</v>
      </c>
      <c r="B40" s="9">
        <v>8902.7336504636969</v>
      </c>
      <c r="C40" s="9">
        <v>113.11566901576984</v>
      </c>
      <c r="D40" s="14">
        <f t="shared" si="1"/>
        <v>7870.4689880077849</v>
      </c>
      <c r="E40" s="14">
        <v>3.9199999999999999E-2</v>
      </c>
      <c r="F40" s="17">
        <f t="shared" si="0"/>
        <v>308.52238432990515</v>
      </c>
      <c r="I40"/>
      <c r="J40"/>
      <c r="K40"/>
    </row>
    <row r="41" spans="1:11" x14ac:dyDescent="0.2">
      <c r="A41" s="8" t="s">
        <v>45</v>
      </c>
      <c r="B41" s="9">
        <v>9797.039602958921</v>
      </c>
      <c r="C41" s="9">
        <v>119.95232082722882</v>
      </c>
      <c r="D41" s="14">
        <f t="shared" si="1"/>
        <v>8167.4448109010837</v>
      </c>
      <c r="E41" s="14">
        <v>4.0300000000000002E-2</v>
      </c>
      <c r="F41" s="17">
        <f t="shared" si="0"/>
        <v>329.14802587931371</v>
      </c>
      <c r="I41"/>
      <c r="J41"/>
      <c r="K41"/>
    </row>
    <row r="42" spans="1:11" x14ac:dyDescent="0.2">
      <c r="A42" s="4" t="s">
        <v>15</v>
      </c>
      <c r="B42" s="7">
        <v>8877.6533542806683</v>
      </c>
      <c r="C42" s="7">
        <v>119.93001284074873</v>
      </c>
      <c r="D42" s="3">
        <f t="shared" si="1"/>
        <v>7402.3617141349123</v>
      </c>
      <c r="E42" s="3">
        <v>4.1599999999999998E-2</v>
      </c>
      <c r="F42" s="16">
        <f t="shared" si="0"/>
        <v>307.93824730801236</v>
      </c>
      <c r="I42"/>
      <c r="J42"/>
      <c r="K42"/>
    </row>
    <row r="43" spans="1:11" x14ac:dyDescent="0.2">
      <c r="A43" s="4" t="s">
        <v>46</v>
      </c>
      <c r="B43" s="7">
        <v>10238.280014139516</v>
      </c>
      <c r="C43" s="7">
        <v>122.15687934160667</v>
      </c>
      <c r="D43" s="3">
        <f t="shared" si="1"/>
        <v>8381.2553736810751</v>
      </c>
      <c r="E43" s="3">
        <v>4.2299999999999997E-2</v>
      </c>
      <c r="F43" s="16">
        <f t="shared" si="0"/>
        <v>354.52710230670948</v>
      </c>
      <c r="I43"/>
      <c r="J43"/>
      <c r="K43"/>
    </row>
    <row r="44" spans="1:11" x14ac:dyDescent="0.2">
      <c r="A44" s="4" t="s">
        <v>47</v>
      </c>
      <c r="B44" s="7">
        <v>11542.047548388042</v>
      </c>
      <c r="C44" s="7">
        <v>121.83404524010402</v>
      </c>
      <c r="D44" s="3">
        <f t="shared" si="1"/>
        <v>9473.5814817948394</v>
      </c>
      <c r="E44" s="3">
        <v>4.19E-2</v>
      </c>
      <c r="F44" s="16">
        <f t="shared" si="0"/>
        <v>396.94306408720377</v>
      </c>
      <c r="I44"/>
      <c r="J44"/>
      <c r="K44"/>
    </row>
    <row r="45" spans="1:11" x14ac:dyDescent="0.2">
      <c r="A45" s="4" t="s">
        <v>48</v>
      </c>
      <c r="B45" s="7">
        <v>10618.868270134297</v>
      </c>
      <c r="C45" s="7">
        <v>109.84065654399066</v>
      </c>
      <c r="D45" s="3">
        <f t="shared" si="1"/>
        <v>9667.5207561978568</v>
      </c>
      <c r="E45" s="3">
        <v>3.5299999999999998E-2</v>
      </c>
      <c r="F45" s="16">
        <f t="shared" si="0"/>
        <v>341.26348269378434</v>
      </c>
      <c r="I45"/>
      <c r="J45"/>
      <c r="K45"/>
    </row>
    <row r="46" spans="1:11" x14ac:dyDescent="0.2">
      <c r="A46" s="8" t="s">
        <v>49</v>
      </c>
      <c r="B46" s="9">
        <v>8334.6327818815698</v>
      </c>
      <c r="C46" s="9">
        <v>103.39769167863111</v>
      </c>
      <c r="D46" s="14">
        <f t="shared" si="1"/>
        <v>8060.7532398173089</v>
      </c>
      <c r="E46" s="14">
        <v>2.8899999999999999E-2</v>
      </c>
      <c r="F46" s="17">
        <f t="shared" si="0"/>
        <v>232.95576863072023</v>
      </c>
      <c r="I46"/>
      <c r="J46"/>
      <c r="K46"/>
    </row>
    <row r="47" spans="1:11" x14ac:dyDescent="0.2">
      <c r="A47" s="8" t="s">
        <v>50</v>
      </c>
      <c r="B47" s="9">
        <v>9244.8288207423739</v>
      </c>
      <c r="C47" s="9">
        <v>101.629717568342</v>
      </c>
      <c r="D47" s="14">
        <f t="shared" si="1"/>
        <v>9096.580254221004</v>
      </c>
      <c r="E47" s="14">
        <v>3.1099999999999999E-2</v>
      </c>
      <c r="F47" s="17">
        <f t="shared" si="0"/>
        <v>282.9036459062732</v>
      </c>
      <c r="I47"/>
      <c r="J47"/>
      <c r="K47"/>
    </row>
    <row r="48" spans="1:11" x14ac:dyDescent="0.2">
      <c r="A48" s="8" t="s">
        <v>51</v>
      </c>
      <c r="B48" s="9">
        <v>10411.333955988388</v>
      </c>
      <c r="C48" s="9">
        <v>98.711135319802437</v>
      </c>
      <c r="D48" s="14">
        <f t="shared" si="1"/>
        <v>10547.274045889502</v>
      </c>
      <c r="E48" s="14">
        <v>3.27E-2</v>
      </c>
      <c r="F48" s="17">
        <f t="shared" si="0"/>
        <v>344.89586130058672</v>
      </c>
      <c r="I48"/>
      <c r="J48"/>
      <c r="K48"/>
    </row>
    <row r="49" spans="1:11" x14ac:dyDescent="0.2">
      <c r="A49" s="8" t="s">
        <v>52</v>
      </c>
      <c r="B49" s="9">
        <v>10816.423016343833</v>
      </c>
      <c r="C49" s="9">
        <v>104.56650351956236</v>
      </c>
      <c r="D49" s="14">
        <f t="shared" si="1"/>
        <v>10344.061102052907</v>
      </c>
      <c r="E49" s="14">
        <v>3.3500000000000002E-2</v>
      </c>
      <c r="F49" s="17">
        <f t="shared" si="0"/>
        <v>346.52604691877241</v>
      </c>
      <c r="I49"/>
      <c r="J49"/>
      <c r="K49"/>
    </row>
    <row r="50" spans="1:11" x14ac:dyDescent="0.2">
      <c r="A50" s="4" t="s">
        <v>53</v>
      </c>
      <c r="B50" s="7">
        <v>9995.7582587564557</v>
      </c>
      <c r="C50" s="7">
        <v>115.2409197256746</v>
      </c>
      <c r="D50" s="3">
        <f t="shared" si="1"/>
        <v>8673.7925057790853</v>
      </c>
      <c r="E50" s="3">
        <v>3.3500000000000002E-2</v>
      </c>
      <c r="F50" s="16">
        <f t="shared" si="0"/>
        <v>290.57204894359938</v>
      </c>
      <c r="I50"/>
      <c r="J50"/>
      <c r="K50"/>
    </row>
    <row r="51" spans="1:11" x14ac:dyDescent="0.2">
      <c r="A51" s="4" t="s">
        <v>54</v>
      </c>
      <c r="B51" s="7">
        <v>10977.035260722871</v>
      </c>
      <c r="C51" s="7">
        <v>113.08265480851985</v>
      </c>
      <c r="D51" s="3">
        <f t="shared" si="1"/>
        <v>9707.0901627752028</v>
      </c>
      <c r="E51" s="3">
        <v>3.32E-2</v>
      </c>
      <c r="F51" s="16">
        <f t="shared" si="0"/>
        <v>322.27539340413671</v>
      </c>
      <c r="I51"/>
      <c r="J51"/>
      <c r="K51"/>
    </row>
    <row r="52" spans="1:11" x14ac:dyDescent="0.2">
      <c r="A52" s="4" t="s">
        <v>55</v>
      </c>
      <c r="B52" s="7">
        <v>12086.463958780156</v>
      </c>
      <c r="C52" s="7">
        <v>111.81128896184211</v>
      </c>
      <c r="D52" s="3">
        <f t="shared" si="1"/>
        <v>10809.699155605753</v>
      </c>
      <c r="E52" s="3">
        <v>3.2800000000000003E-2</v>
      </c>
      <c r="F52" s="16">
        <f t="shared" si="0"/>
        <v>354.55813230386872</v>
      </c>
      <c r="I52"/>
      <c r="J52"/>
      <c r="K52"/>
    </row>
    <row r="53" spans="1:11" x14ac:dyDescent="0.2">
      <c r="A53" s="4" t="s">
        <v>56</v>
      </c>
      <c r="B53" s="7">
        <v>13249.283711436283</v>
      </c>
      <c r="C53" s="7">
        <v>116.5704445808542</v>
      </c>
      <c r="D53" s="3">
        <f t="shared" si="1"/>
        <v>11365.903046073117</v>
      </c>
      <c r="E53" s="3">
        <v>3.27E-2</v>
      </c>
      <c r="F53" s="16">
        <f t="shared" si="0"/>
        <v>371.66502960659096</v>
      </c>
      <c r="I53"/>
      <c r="J53"/>
      <c r="K53"/>
    </row>
    <row r="54" spans="1:11" x14ac:dyDescent="0.2">
      <c r="A54" s="8" t="s">
        <v>57</v>
      </c>
      <c r="B54" s="9">
        <v>11954.230424052985</v>
      </c>
      <c r="C54" s="9">
        <v>115.80148478589936</v>
      </c>
      <c r="D54" s="14">
        <f t="shared" si="1"/>
        <v>10323.037261702364</v>
      </c>
      <c r="E54" s="14">
        <v>3.3500000000000002E-2</v>
      </c>
      <c r="F54" s="17">
        <f t="shared" si="0"/>
        <v>345.82174826702919</v>
      </c>
      <c r="I54"/>
      <c r="J54"/>
      <c r="K54"/>
    </row>
    <row r="55" spans="1:11" x14ac:dyDescent="0.2">
      <c r="A55" s="8" t="s">
        <v>58</v>
      </c>
      <c r="B55" s="9">
        <v>13376.378140140327</v>
      </c>
      <c r="C55" s="9">
        <v>117.97207257848692</v>
      </c>
      <c r="D55" s="14">
        <f t="shared" si="1"/>
        <v>11338.597218626477</v>
      </c>
      <c r="E55" s="14">
        <v>3.49E-2</v>
      </c>
      <c r="F55" s="17">
        <f t="shared" si="0"/>
        <v>395.71704293006405</v>
      </c>
      <c r="I55"/>
      <c r="J55"/>
      <c r="K55"/>
    </row>
    <row r="56" spans="1:11" x14ac:dyDescent="0.2">
      <c r="A56" s="8" t="s">
        <v>59</v>
      </c>
      <c r="B56" s="9">
        <v>14732.931161636128</v>
      </c>
      <c r="C56" s="9">
        <v>116.04049551472464</v>
      </c>
      <c r="D56" s="14">
        <f t="shared" si="1"/>
        <v>12696.3704319641</v>
      </c>
      <c r="E56" s="14">
        <v>3.5700000000000003E-2</v>
      </c>
      <c r="F56" s="17">
        <f t="shared" si="0"/>
        <v>453.26042442111839</v>
      </c>
      <c r="I56"/>
      <c r="J56"/>
      <c r="K56"/>
    </row>
    <row r="57" spans="1:11" x14ac:dyDescent="0.2">
      <c r="A57" s="8" t="s">
        <v>60</v>
      </c>
      <c r="B57" s="9">
        <v>15903.687036966961</v>
      </c>
      <c r="C57" s="9">
        <v>114.12950649351433</v>
      </c>
      <c r="D57" s="14">
        <f t="shared" si="1"/>
        <v>13934.772457699819</v>
      </c>
      <c r="E57" s="14">
        <v>3.4299999999999997E-2</v>
      </c>
      <c r="F57" s="17">
        <f t="shared" si="0"/>
        <v>477.96269529910376</v>
      </c>
      <c r="I57"/>
      <c r="J57"/>
      <c r="K57"/>
    </row>
    <row r="58" spans="1:11" x14ac:dyDescent="0.2">
      <c r="A58" s="4" t="s">
        <v>61</v>
      </c>
      <c r="B58" s="10">
        <v>15182.776397336605</v>
      </c>
      <c r="C58" s="10">
        <v>110.28006284295824</v>
      </c>
      <c r="D58" s="3">
        <f t="shared" si="1"/>
        <v>13767.471658913801</v>
      </c>
      <c r="E58" s="3">
        <v>3.2899999999999999E-2</v>
      </c>
      <c r="F58" s="16">
        <f t="shared" si="0"/>
        <v>452.949817578264</v>
      </c>
      <c r="I58"/>
      <c r="J58"/>
      <c r="K58"/>
    </row>
    <row r="59" spans="1:11" x14ac:dyDescent="0.2">
      <c r="A59" s="4" t="s">
        <v>62</v>
      </c>
      <c r="B59" s="10">
        <v>16435.995568837679</v>
      </c>
      <c r="C59" s="10">
        <v>108.59310893568632</v>
      </c>
      <c r="D59" s="3">
        <f t="shared" si="1"/>
        <v>15135.394621192592</v>
      </c>
      <c r="E59" s="3">
        <v>3.2800000000000003E-2</v>
      </c>
      <c r="F59" s="16">
        <f t="shared" si="0"/>
        <v>496.44094357511705</v>
      </c>
      <c r="I59"/>
      <c r="J59"/>
      <c r="K59"/>
    </row>
    <row r="60" spans="1:11" x14ac:dyDescent="0.2">
      <c r="A60" s="4" t="s">
        <v>63</v>
      </c>
      <c r="B60" s="10">
        <v>17715.787935387263</v>
      </c>
      <c r="C60" s="10">
        <v>108.71775728284024</v>
      </c>
      <c r="D60" s="3">
        <f t="shared" si="1"/>
        <v>16295.210992347689</v>
      </c>
      <c r="E60" s="3">
        <v>3.1300000000000001E-2</v>
      </c>
      <c r="F60" s="16">
        <f t="shared" si="0"/>
        <v>510.04010406048269</v>
      </c>
      <c r="I60"/>
      <c r="J60"/>
      <c r="K60"/>
    </row>
    <row r="61" spans="1:11" x14ac:dyDescent="0.2">
      <c r="A61" s="4" t="s">
        <v>64</v>
      </c>
      <c r="B61" s="10">
        <v>18768.889727077843</v>
      </c>
      <c r="C61" s="10">
        <v>108.38533843473608</v>
      </c>
      <c r="D61" s="3">
        <f t="shared" si="1"/>
        <v>17316.816091670436</v>
      </c>
      <c r="E61" s="3">
        <v>3.1300000000000001E-2</v>
      </c>
      <c r="F61" s="16">
        <f t="shared" si="0"/>
        <v>542.01634366928465</v>
      </c>
      <c r="I61"/>
      <c r="J61"/>
      <c r="K61"/>
    </row>
    <row r="62" spans="1:11" x14ac:dyDescent="0.2">
      <c r="A62" s="8" t="s">
        <v>65</v>
      </c>
      <c r="B62" s="11">
        <v>16370.002896506387</v>
      </c>
      <c r="C62" s="11">
        <v>106.61372181834494</v>
      </c>
      <c r="D62" s="14">
        <f t="shared" si="1"/>
        <v>15354.499043189404</v>
      </c>
      <c r="E62" s="14">
        <v>3.32E-2</v>
      </c>
      <c r="F62" s="17">
        <f t="shared" si="0"/>
        <v>509.7693682338882</v>
      </c>
      <c r="I62"/>
      <c r="J62"/>
      <c r="K62"/>
    </row>
    <row r="63" spans="1:11" x14ac:dyDescent="0.2">
      <c r="A63" s="8" t="s">
        <v>66</v>
      </c>
      <c r="B63" s="11">
        <v>17507.88178128091</v>
      </c>
      <c r="C63" s="11">
        <v>104.71864713522278</v>
      </c>
      <c r="D63" s="14">
        <f t="shared" si="1"/>
        <v>16718.972465976425</v>
      </c>
      <c r="E63" s="14">
        <v>3.2000000000000001E-2</v>
      </c>
      <c r="F63" s="17">
        <f t="shared" si="0"/>
        <v>535.00711891124558</v>
      </c>
      <c r="I63"/>
      <c r="J63"/>
      <c r="K63"/>
    </row>
    <row r="64" spans="1:11" x14ac:dyDescent="0.2">
      <c r="A64" s="8" t="s">
        <v>67</v>
      </c>
      <c r="B64" s="11">
        <v>19003.469310733559</v>
      </c>
      <c r="C64" s="11">
        <v>105.67316146647137</v>
      </c>
      <c r="D64" s="14">
        <f t="shared" si="1"/>
        <v>17983.250474400822</v>
      </c>
      <c r="E64" s="14">
        <v>3.0800000000000001E-2</v>
      </c>
      <c r="F64" s="17">
        <f t="shared" si="0"/>
        <v>553.88411461154533</v>
      </c>
      <c r="I64"/>
      <c r="J64"/>
      <c r="K64"/>
    </row>
    <row r="65" spans="1:11" x14ac:dyDescent="0.2">
      <c r="A65" s="8" t="s">
        <v>68</v>
      </c>
      <c r="B65" s="11">
        <v>20104.347141818405</v>
      </c>
      <c r="C65" s="11">
        <v>104.45601461461993</v>
      </c>
      <c r="D65" s="14">
        <f t="shared" si="1"/>
        <v>19246.710891652714</v>
      </c>
      <c r="E65" s="14">
        <v>3.0200000000000001E-2</v>
      </c>
      <c r="F65" s="17">
        <f t="shared" si="0"/>
        <v>581.25066892791199</v>
      </c>
      <c r="I65"/>
      <c r="J65"/>
      <c r="K65"/>
    </row>
    <row r="66" spans="1:11" x14ac:dyDescent="0.2">
      <c r="A66" s="4" t="s">
        <v>69</v>
      </c>
      <c r="B66" s="10">
        <v>17311.393635386459</v>
      </c>
      <c r="C66" s="10">
        <v>105.80078697554941</v>
      </c>
      <c r="D66" s="3">
        <f t="shared" si="1"/>
        <v>16362.254128967044</v>
      </c>
      <c r="E66" s="3">
        <v>2.8400000000000002E-2</v>
      </c>
      <c r="F66" s="16">
        <f t="shared" si="0"/>
        <v>464.68801726266406</v>
      </c>
      <c r="I66"/>
      <c r="J66"/>
      <c r="K66"/>
    </row>
    <row r="67" spans="1:11" x14ac:dyDescent="0.2">
      <c r="A67" s="4" t="s">
        <v>70</v>
      </c>
      <c r="B67" s="10">
        <v>19044.189387806189</v>
      </c>
      <c r="C67" s="10">
        <v>108.1741611166435</v>
      </c>
      <c r="D67" s="3">
        <f t="shared" si="1"/>
        <v>17605.118626499872</v>
      </c>
      <c r="E67" s="3">
        <v>2.8500000000000001E-2</v>
      </c>
      <c r="F67" s="16">
        <f t="shared" ref="F67:F108" si="2">D67*E67</f>
        <v>501.74588085524636</v>
      </c>
      <c r="I67"/>
      <c r="J67"/>
      <c r="K67"/>
    </row>
    <row r="68" spans="1:11" x14ac:dyDescent="0.2">
      <c r="A68" s="4" t="s">
        <v>71</v>
      </c>
      <c r="B68" s="10">
        <v>20544.004177204475</v>
      </c>
      <c r="C68" s="10">
        <v>106.60869533139288</v>
      </c>
      <c r="D68" s="3">
        <f t="shared" ref="D68:D108" si="3" xml:space="preserve"> B68 / C68 * 100</f>
        <v>19270.47705944012</v>
      </c>
      <c r="E68" s="3">
        <v>2.7E-2</v>
      </c>
      <c r="F68" s="16">
        <f t="shared" si="2"/>
        <v>520.30288060488328</v>
      </c>
      <c r="I68"/>
      <c r="J68"/>
      <c r="K68"/>
    </row>
    <row r="69" spans="1:11" x14ac:dyDescent="0.2">
      <c r="A69" s="4" t="s">
        <v>72</v>
      </c>
      <c r="B69" s="10">
        <v>22130.452874336857</v>
      </c>
      <c r="C69" s="10">
        <v>109.06622571385651</v>
      </c>
      <c r="D69" s="3">
        <f t="shared" si="3"/>
        <v>20290.839560541659</v>
      </c>
      <c r="E69" s="3">
        <v>2.23E-2</v>
      </c>
      <c r="F69" s="16">
        <f t="shared" si="2"/>
        <v>452.48572220007901</v>
      </c>
      <c r="I69"/>
      <c r="J69"/>
      <c r="K69"/>
    </row>
    <row r="70" spans="1:11" x14ac:dyDescent="0.2">
      <c r="A70" s="8" t="s">
        <v>73</v>
      </c>
      <c r="B70" s="11">
        <v>18467.912804445743</v>
      </c>
      <c r="C70" s="11">
        <v>108.33401834409571</v>
      </c>
      <c r="D70" s="14">
        <f t="shared" si="3"/>
        <v>17047.196334753382</v>
      </c>
      <c r="E70" s="14">
        <v>1.44E-2</v>
      </c>
      <c r="F70" s="17">
        <f t="shared" si="2"/>
        <v>245.47962722044869</v>
      </c>
      <c r="I70"/>
      <c r="J70"/>
      <c r="K70"/>
    </row>
    <row r="71" spans="1:11" x14ac:dyDescent="0.2">
      <c r="A71" s="8" t="s">
        <v>74</v>
      </c>
      <c r="B71" s="11">
        <v>19751.014987984385</v>
      </c>
      <c r="C71" s="11">
        <v>107.0171228555906</v>
      </c>
      <c r="D71" s="14">
        <f t="shared" si="3"/>
        <v>18455.939069336124</v>
      </c>
      <c r="E71" s="14">
        <v>1.72E-2</v>
      </c>
      <c r="F71" s="17">
        <f t="shared" si="2"/>
        <v>317.44215199258133</v>
      </c>
      <c r="I71"/>
      <c r="J71"/>
      <c r="K71"/>
    </row>
    <row r="72" spans="1:11" x14ac:dyDescent="0.2">
      <c r="A72" s="8" t="s">
        <v>75</v>
      </c>
      <c r="B72" s="11">
        <v>21788.589405104605</v>
      </c>
      <c r="C72" s="11">
        <v>107.89214015927119</v>
      </c>
      <c r="D72" s="14">
        <f t="shared" si="3"/>
        <v>20194.788399729696</v>
      </c>
      <c r="E72" s="14">
        <v>1.8100000000000002E-2</v>
      </c>
      <c r="F72" s="17">
        <f t="shared" si="2"/>
        <v>365.52567003510751</v>
      </c>
      <c r="I72"/>
      <c r="J72"/>
      <c r="K72"/>
    </row>
    <row r="73" spans="1:11" x14ac:dyDescent="0.2">
      <c r="A73" s="8" t="s">
        <v>76</v>
      </c>
      <c r="B73" s="11">
        <v>23079.842857342279</v>
      </c>
      <c r="C73" s="11">
        <v>105.98265399879882</v>
      </c>
      <c r="D73" s="14">
        <f t="shared" si="3"/>
        <v>21777.000279313499</v>
      </c>
      <c r="E73" s="14">
        <v>1.5100000000000001E-2</v>
      </c>
      <c r="F73" s="17">
        <f t="shared" si="2"/>
        <v>328.83270421763388</v>
      </c>
      <c r="I73"/>
      <c r="J73"/>
      <c r="K73"/>
    </row>
    <row r="74" spans="1:11" x14ac:dyDescent="0.2">
      <c r="A74" s="4" t="s">
        <v>77</v>
      </c>
      <c r="B74" s="10">
        <v>18885.121082843765</v>
      </c>
      <c r="C74" s="10">
        <v>102.47046236267252</v>
      </c>
      <c r="D74" s="3">
        <f t="shared" si="3"/>
        <v>18429.819332720366</v>
      </c>
      <c r="E74" s="3">
        <v>1.32E-2</v>
      </c>
      <c r="F74" s="16">
        <f t="shared" si="2"/>
        <v>243.27361519190885</v>
      </c>
      <c r="I74"/>
      <c r="J74"/>
      <c r="K74"/>
    </row>
    <row r="75" spans="1:11" x14ac:dyDescent="0.2">
      <c r="A75" s="4" t="s">
        <v>78</v>
      </c>
      <c r="B75" s="10">
        <v>20452.234645231969</v>
      </c>
      <c r="C75" s="10">
        <v>103.21880403987096</v>
      </c>
      <c r="D75" s="3">
        <f t="shared" si="3"/>
        <v>19814.446442657638</v>
      </c>
      <c r="E75" s="3">
        <v>1.4999999999999999E-2</v>
      </c>
      <c r="F75" s="16">
        <f t="shared" si="2"/>
        <v>297.21669663986455</v>
      </c>
      <c r="I75"/>
      <c r="J75"/>
      <c r="K75"/>
    </row>
    <row r="76" spans="1:11" x14ac:dyDescent="0.2">
      <c r="A76" s="4" t="s">
        <v>79</v>
      </c>
      <c r="B76" s="10">
        <v>22235.115223401299</v>
      </c>
      <c r="C76" s="10">
        <v>101.98949167921934</v>
      </c>
      <c r="D76" s="3">
        <f t="shared" si="3"/>
        <v>21801.37861000024</v>
      </c>
      <c r="E76" s="3">
        <v>1.5599999999999999E-2</v>
      </c>
      <c r="F76" s="16">
        <f t="shared" si="2"/>
        <v>340.10150631600374</v>
      </c>
      <c r="I76"/>
      <c r="J76"/>
      <c r="K76"/>
    </row>
    <row r="77" spans="1:11" x14ac:dyDescent="0.2">
      <c r="A77" s="4" t="s">
        <v>80</v>
      </c>
      <c r="B77" s="10">
        <v>24043.612849930672</v>
      </c>
      <c r="C77" s="10">
        <v>103.61813674441728</v>
      </c>
      <c r="D77" s="3">
        <f t="shared" si="3"/>
        <v>23204.058290718192</v>
      </c>
      <c r="E77" s="3">
        <v>1.54E-2</v>
      </c>
      <c r="F77" s="16">
        <f t="shared" si="2"/>
        <v>357.34249767706018</v>
      </c>
      <c r="I77"/>
      <c r="J77"/>
      <c r="K77"/>
    </row>
    <row r="78" spans="1:11" x14ac:dyDescent="0.2">
      <c r="A78" s="8" t="s">
        <v>81</v>
      </c>
      <c r="B78" s="11">
        <v>20586.119060373268</v>
      </c>
      <c r="C78" s="11">
        <v>107.59762314306639</v>
      </c>
      <c r="D78" s="14">
        <f t="shared" si="3"/>
        <v>19132.503543318133</v>
      </c>
      <c r="E78" s="14">
        <v>1.66E-2</v>
      </c>
      <c r="F78" s="17">
        <f t="shared" si="2"/>
        <v>317.59955881908098</v>
      </c>
      <c r="I78"/>
      <c r="J78"/>
      <c r="K78"/>
    </row>
    <row r="79" spans="1:11" x14ac:dyDescent="0.2">
      <c r="A79" s="8" t="s">
        <v>82</v>
      </c>
      <c r="B79" s="11">
        <v>21917.573773440705</v>
      </c>
      <c r="C79" s="11">
        <v>104.71296500432902</v>
      </c>
      <c r="D79" s="14">
        <f t="shared" si="3"/>
        <v>20931.098429439557</v>
      </c>
      <c r="E79" s="14">
        <v>1.7399999999999999E-2</v>
      </c>
      <c r="F79" s="17">
        <f t="shared" si="2"/>
        <v>364.20111267224826</v>
      </c>
      <c r="I79"/>
      <c r="J79"/>
      <c r="K79"/>
    </row>
    <row r="80" spans="1:11" x14ac:dyDescent="0.2">
      <c r="A80" s="8" t="s">
        <v>83</v>
      </c>
      <c r="B80" s="11">
        <v>23718.216150578643</v>
      </c>
      <c r="C80" s="11">
        <v>103.92858177591229</v>
      </c>
      <c r="D80" s="14">
        <f t="shared" si="3"/>
        <v>22821.649006737291</v>
      </c>
      <c r="E80" s="14">
        <v>1.7100000000000001E-2</v>
      </c>
      <c r="F80" s="17">
        <f t="shared" si="2"/>
        <v>390.25019801520767</v>
      </c>
      <c r="I80"/>
      <c r="J80"/>
      <c r="K80"/>
    </row>
    <row r="81" spans="1:11" x14ac:dyDescent="0.2">
      <c r="A81" s="8" t="s">
        <v>84</v>
      </c>
      <c r="B81" s="11">
        <v>25621.245234106133</v>
      </c>
      <c r="C81" s="11">
        <v>105.46444575549161</v>
      </c>
      <c r="D81" s="14">
        <f t="shared" si="3"/>
        <v>24293.727663924139</v>
      </c>
      <c r="E81" s="14">
        <v>1.7299999999999999E-2</v>
      </c>
      <c r="F81" s="17">
        <f t="shared" si="2"/>
        <v>420.28148858588759</v>
      </c>
      <c r="I81"/>
      <c r="J81"/>
      <c r="K81"/>
    </row>
    <row r="82" spans="1:11" x14ac:dyDescent="0.2">
      <c r="A82" s="4" t="s">
        <v>85</v>
      </c>
      <c r="B82" s="10">
        <v>22474.464292826313</v>
      </c>
      <c r="C82" s="10">
        <v>106.44453111640435</v>
      </c>
      <c r="D82" s="3">
        <f t="shared" si="3"/>
        <v>21113.780160531645</v>
      </c>
      <c r="E82" s="3">
        <v>1.78E-2</v>
      </c>
      <c r="F82" s="16">
        <f t="shared" si="2"/>
        <v>375.82528685746331</v>
      </c>
      <c r="I82"/>
      <c r="J82"/>
      <c r="K82"/>
    </row>
    <row r="83" spans="1:11" x14ac:dyDescent="0.2">
      <c r="A83" s="4" t="s">
        <v>86</v>
      </c>
      <c r="B83" s="10">
        <v>24969.759104845027</v>
      </c>
      <c r="C83" s="10">
        <v>110.89925756015131</v>
      </c>
      <c r="D83" s="3">
        <f t="shared" si="3"/>
        <v>22515.713499075075</v>
      </c>
      <c r="E83" s="3">
        <v>1.6E-2</v>
      </c>
      <c r="F83" s="16">
        <f t="shared" si="2"/>
        <v>360.25141598520122</v>
      </c>
      <c r="I83"/>
      <c r="J83"/>
      <c r="K83"/>
    </row>
    <row r="84" spans="1:11" x14ac:dyDescent="0.2">
      <c r="A84" s="4" t="s">
        <v>87</v>
      </c>
      <c r="B84" s="10">
        <v>27196.843549961279</v>
      </c>
      <c r="C84" s="10">
        <v>111.72398945940839</v>
      </c>
      <c r="D84" s="3">
        <f t="shared" si="3"/>
        <v>24342.886144289045</v>
      </c>
      <c r="E84" s="3">
        <v>1.52E-2</v>
      </c>
      <c r="F84" s="16">
        <f t="shared" si="2"/>
        <v>370.01186939319348</v>
      </c>
      <c r="I84"/>
      <c r="J84"/>
      <c r="K84"/>
    </row>
    <row r="85" spans="1:11" x14ac:dyDescent="0.2">
      <c r="A85" s="4" t="s">
        <v>88</v>
      </c>
      <c r="B85" s="10">
        <v>29220.584141502397</v>
      </c>
      <c r="C85" s="10">
        <v>110.47019933332388</v>
      </c>
      <c r="D85" s="3">
        <f t="shared" si="3"/>
        <v>26451.101127585149</v>
      </c>
      <c r="E85" s="3">
        <v>1.4500000000000001E-2</v>
      </c>
      <c r="F85" s="16">
        <f t="shared" si="2"/>
        <v>383.54096634998467</v>
      </c>
      <c r="I85"/>
      <c r="J85"/>
      <c r="K85"/>
    </row>
    <row r="86" spans="1:11" x14ac:dyDescent="0.2">
      <c r="A86" s="8" t="s">
        <v>89</v>
      </c>
      <c r="B86" s="11">
        <v>24608.601432062842</v>
      </c>
      <c r="C86" s="11">
        <v>107.99636607131579</v>
      </c>
      <c r="D86" s="14">
        <f t="shared" si="3"/>
        <v>22786.508775501265</v>
      </c>
      <c r="E86" s="14">
        <v>1.5299999999999999E-2</v>
      </c>
      <c r="F86" s="17">
        <f t="shared" si="2"/>
        <v>348.63358426516936</v>
      </c>
      <c r="I86"/>
      <c r="J86"/>
      <c r="K86"/>
    </row>
    <row r="87" spans="1:11" x14ac:dyDescent="0.2">
      <c r="A87" s="8" t="s">
        <v>90</v>
      </c>
      <c r="B87" s="11">
        <v>26628.589878724502</v>
      </c>
      <c r="C87" s="11">
        <v>105.21516990222888</v>
      </c>
      <c r="D87" s="14">
        <f t="shared" si="3"/>
        <v>25308.69826420382</v>
      </c>
      <c r="E87" s="14">
        <v>1.55E-2</v>
      </c>
      <c r="F87" s="17">
        <f t="shared" si="2"/>
        <v>392.2848230951592</v>
      </c>
      <c r="I87"/>
      <c r="J87"/>
      <c r="K87"/>
    </row>
    <row r="88" spans="1:11" x14ac:dyDescent="0.2">
      <c r="A88" s="8" t="s">
        <v>91</v>
      </c>
      <c r="B88" s="11">
        <v>28346.031565728943</v>
      </c>
      <c r="C88" s="11">
        <v>101.41876626770478</v>
      </c>
      <c r="D88" s="14">
        <f t="shared" si="3"/>
        <v>27949.493578838075</v>
      </c>
      <c r="E88" s="14">
        <v>1.5699999999999999E-2</v>
      </c>
      <c r="F88" s="17">
        <f t="shared" si="2"/>
        <v>438.80704918775774</v>
      </c>
      <c r="I88"/>
      <c r="J88"/>
      <c r="K88"/>
    </row>
    <row r="89" spans="1:11" x14ac:dyDescent="0.2">
      <c r="A89" s="8" t="s">
        <v>92</v>
      </c>
      <c r="B89" s="11">
        <v>30025.082864848035</v>
      </c>
      <c r="C89" s="11">
        <v>99.693161091220901</v>
      </c>
      <c r="D89" s="14">
        <f t="shared" si="3"/>
        <v>30117.495058035711</v>
      </c>
      <c r="E89" s="14">
        <v>1.5599999999999999E-2</v>
      </c>
      <c r="F89" s="17">
        <f t="shared" si="2"/>
        <v>469.83292290535707</v>
      </c>
      <c r="I89"/>
      <c r="J89"/>
      <c r="K89"/>
    </row>
    <row r="90" spans="1:11" x14ac:dyDescent="0.2">
      <c r="A90" s="4" t="s">
        <v>93</v>
      </c>
      <c r="B90" s="10">
        <v>24865.95806735806</v>
      </c>
      <c r="C90" s="10">
        <v>99.536747350835583</v>
      </c>
      <c r="D90" s="3">
        <f t="shared" si="3"/>
        <v>24981.686391372037</v>
      </c>
      <c r="E90" s="3">
        <v>1.5599999999999999E-2</v>
      </c>
      <c r="F90" s="16">
        <f t="shared" si="2"/>
        <v>389.71430770540377</v>
      </c>
      <c r="I90"/>
      <c r="J90"/>
      <c r="K90"/>
    </row>
    <row r="91" spans="1:11" x14ac:dyDescent="0.2">
      <c r="A91" s="4" t="s">
        <v>94</v>
      </c>
      <c r="B91" s="10">
        <v>23775.433142640297</v>
      </c>
      <c r="C91" s="10">
        <v>96.332522565382661</v>
      </c>
      <c r="D91" s="3">
        <f t="shared" si="3"/>
        <v>24680.588143535297</v>
      </c>
      <c r="E91" s="3">
        <v>1.38E-2</v>
      </c>
      <c r="F91" s="16">
        <f t="shared" si="2"/>
        <v>340.5921163807871</v>
      </c>
      <c r="I91"/>
      <c r="J91"/>
      <c r="K91"/>
    </row>
    <row r="92" spans="1:11" x14ac:dyDescent="0.2">
      <c r="A92" s="4" t="s">
        <v>95</v>
      </c>
      <c r="B92" s="10">
        <v>27786.260415423072</v>
      </c>
      <c r="C92" s="10">
        <v>101.39996426608049</v>
      </c>
      <c r="D92" s="3">
        <f t="shared" si="3"/>
        <v>27402.633340688379</v>
      </c>
      <c r="E92" s="3">
        <v>1.32E-2</v>
      </c>
      <c r="F92" s="16">
        <f t="shared" si="2"/>
        <v>361.71476009708658</v>
      </c>
      <c r="I92"/>
      <c r="J92"/>
      <c r="K92"/>
    </row>
    <row r="93" spans="1:11" x14ac:dyDescent="0.2">
      <c r="A93" s="4" t="s">
        <v>96</v>
      </c>
      <c r="B93" s="10">
        <v>31230.479404487392</v>
      </c>
      <c r="C93" s="10">
        <v>105.38591765448568</v>
      </c>
      <c r="D93" s="3">
        <f t="shared" si="3"/>
        <v>29634.3952774397</v>
      </c>
      <c r="E93" s="3">
        <v>1.2999999999999999E-2</v>
      </c>
      <c r="F93" s="16">
        <f t="shared" si="2"/>
        <v>385.24713860671608</v>
      </c>
      <c r="I93"/>
      <c r="J93"/>
      <c r="K93"/>
    </row>
    <row r="94" spans="1:11" x14ac:dyDescent="0.2">
      <c r="A94" s="8" t="s">
        <v>97</v>
      </c>
      <c r="B94" s="11">
        <v>28078.925856533682</v>
      </c>
      <c r="C94" s="11">
        <v>111.9486180806108</v>
      </c>
      <c r="D94" s="14">
        <f t="shared" si="3"/>
        <v>25081.976301230356</v>
      </c>
      <c r="E94" s="14">
        <v>1.32E-2</v>
      </c>
      <c r="F94" s="17">
        <f t="shared" si="2"/>
        <v>331.08208717624069</v>
      </c>
      <c r="I94"/>
      <c r="J94"/>
      <c r="K94"/>
    </row>
    <row r="95" spans="1:11" x14ac:dyDescent="0.2">
      <c r="A95" s="8" t="s">
        <v>98</v>
      </c>
      <c r="B95" s="11">
        <v>32025.740824728775</v>
      </c>
      <c r="C95" s="11">
        <v>120.95344423230323</v>
      </c>
      <c r="D95" s="14">
        <f t="shared" si="3"/>
        <v>26477.741934508394</v>
      </c>
      <c r="E95" s="14">
        <v>1.3599999999999999E-2</v>
      </c>
      <c r="F95" s="17">
        <f t="shared" si="2"/>
        <v>360.09729030931413</v>
      </c>
      <c r="I95"/>
      <c r="J95"/>
      <c r="K95"/>
    </row>
    <row r="96" spans="1:11" x14ac:dyDescent="0.2">
      <c r="A96" s="8" t="s">
        <v>99</v>
      </c>
      <c r="B96" s="11">
        <v>35487.988160219335</v>
      </c>
      <c r="C96" s="11">
        <v>121.37982348505385</v>
      </c>
      <c r="D96" s="14">
        <f t="shared" si="3"/>
        <v>29237.139370687226</v>
      </c>
      <c r="E96" s="14">
        <v>1.3599999999999999E-2</v>
      </c>
      <c r="F96" s="17">
        <f t="shared" si="2"/>
        <v>397.62509544134628</v>
      </c>
      <c r="I96"/>
      <c r="J96"/>
      <c r="K96"/>
    </row>
    <row r="97" spans="1:11" x14ac:dyDescent="0.2">
      <c r="A97" s="8" t="s">
        <v>100</v>
      </c>
      <c r="B97" s="11">
        <v>40181.114179456199</v>
      </c>
      <c r="C97" s="11">
        <v>121.28164770991931</v>
      </c>
      <c r="D97" s="14">
        <f t="shared" si="3"/>
        <v>33130.415803354801</v>
      </c>
      <c r="E97" s="14">
        <v>1.34E-2</v>
      </c>
      <c r="F97" s="17">
        <f t="shared" si="2"/>
        <v>443.94757176495438</v>
      </c>
      <c r="I97"/>
      <c r="J97"/>
      <c r="K97"/>
    </row>
    <row r="98" spans="1:11" x14ac:dyDescent="0.2">
      <c r="A98" s="4" t="s">
        <v>101</v>
      </c>
      <c r="B98" s="10">
        <v>36901.76525464205</v>
      </c>
      <c r="C98" s="10">
        <v>126.68328722806486</v>
      </c>
      <c r="D98" s="3">
        <f t="shared" si="3"/>
        <v>29129.150389197508</v>
      </c>
      <c r="E98" s="3">
        <v>1.29E-2</v>
      </c>
      <c r="F98" s="16">
        <f t="shared" si="2"/>
        <v>375.76604002064784</v>
      </c>
      <c r="I98"/>
      <c r="J98"/>
      <c r="K98"/>
    </row>
    <row r="99" spans="1:11" x14ac:dyDescent="0.2">
      <c r="A99" s="4" t="s">
        <v>102</v>
      </c>
      <c r="B99" s="10">
        <v>36993.104455053355</v>
      </c>
      <c r="C99" s="10">
        <v>119.70519589094124</v>
      </c>
      <c r="D99" s="3">
        <f t="shared" si="3"/>
        <v>30903.507721382739</v>
      </c>
      <c r="E99" s="3">
        <v>1.3599999999999999E-2</v>
      </c>
      <c r="F99" s="16">
        <f t="shared" si="2"/>
        <v>420.28770501080521</v>
      </c>
      <c r="I99"/>
      <c r="J99"/>
      <c r="K99"/>
    </row>
    <row r="100" spans="1:11" x14ac:dyDescent="0.2">
      <c r="A100" s="4" t="s">
        <v>103</v>
      </c>
      <c r="B100" s="10">
        <v>38761.701764534759</v>
      </c>
      <c r="C100" s="10">
        <v>112.32624522346499</v>
      </c>
      <c r="D100" s="3">
        <f t="shared" si="3"/>
        <v>34508.143388413933</v>
      </c>
      <c r="E100" s="3">
        <v>1.6E-2</v>
      </c>
      <c r="F100" s="16">
        <f t="shared" si="2"/>
        <v>552.13029421462295</v>
      </c>
      <c r="I100"/>
      <c r="J100"/>
      <c r="K100"/>
    </row>
    <row r="101" spans="1:11" x14ac:dyDescent="0.2">
      <c r="A101" s="4" t="s">
        <v>104</v>
      </c>
      <c r="B101" s="10">
        <v>42532.309641288375</v>
      </c>
      <c r="C101" s="10">
        <v>107.83843487958573</v>
      </c>
      <c r="D101" s="3">
        <f t="shared" si="3"/>
        <v>39440.770527484645</v>
      </c>
      <c r="E101" s="3">
        <v>1.6199999999999999E-2</v>
      </c>
      <c r="F101" s="16">
        <f t="shared" si="2"/>
        <v>638.94048254525126</v>
      </c>
      <c r="I101"/>
      <c r="J101"/>
      <c r="K101"/>
    </row>
    <row r="102" spans="1:11" x14ac:dyDescent="0.2">
      <c r="A102" s="8" t="s">
        <v>105</v>
      </c>
      <c r="B102" s="11">
        <v>36176.000693164788</v>
      </c>
      <c r="C102" s="11">
        <v>99.596369447405863</v>
      </c>
      <c r="D102" s="14">
        <f t="shared" si="3"/>
        <v>36322.609843994716</v>
      </c>
      <c r="E102" s="14">
        <v>1.4200000000000001E-2</v>
      </c>
      <c r="F102" s="17">
        <f t="shared" si="2"/>
        <v>515.78105978472502</v>
      </c>
      <c r="I102"/>
      <c r="J102"/>
      <c r="K102"/>
    </row>
    <row r="103" spans="1:11" x14ac:dyDescent="0.2">
      <c r="A103" s="8" t="s">
        <v>106</v>
      </c>
      <c r="B103" s="11">
        <v>40070.181188756411</v>
      </c>
      <c r="C103" s="11">
        <v>103.07140569945983</v>
      </c>
      <c r="D103" s="14">
        <f t="shared" si="3"/>
        <v>38876.137292232939</v>
      </c>
      <c r="E103" s="14">
        <v>1.24E-2</v>
      </c>
      <c r="F103" s="17">
        <f t="shared" si="2"/>
        <v>482.06410242368844</v>
      </c>
      <c r="I103"/>
      <c r="J103"/>
      <c r="K103"/>
    </row>
    <row r="104" spans="1:11" x14ac:dyDescent="0.2">
      <c r="A104" s="8" t="s">
        <v>107</v>
      </c>
      <c r="B104" s="11">
        <v>45087.686144609761</v>
      </c>
      <c r="C104" s="11">
        <v>110.0167277849944</v>
      </c>
      <c r="D104" s="14">
        <f t="shared" si="3"/>
        <v>40982.573334415647</v>
      </c>
      <c r="E104" s="14">
        <v>1.0699999999999999E-2</v>
      </c>
      <c r="F104" s="17">
        <f t="shared" si="2"/>
        <v>438.51353467824742</v>
      </c>
      <c r="I104"/>
      <c r="J104"/>
      <c r="K104"/>
    </row>
    <row r="105" spans="1:11" x14ac:dyDescent="0.2">
      <c r="A105" s="8" t="s">
        <v>108</v>
      </c>
      <c r="B105" s="11">
        <v>50814.443886935427</v>
      </c>
      <c r="C105" s="11">
        <v>113.90875160115637</v>
      </c>
      <c r="D105" s="14">
        <f t="shared" si="3"/>
        <v>44609.780348448287</v>
      </c>
      <c r="E105" s="14">
        <v>1.0800000000000001E-2</v>
      </c>
      <c r="F105" s="17">
        <f t="shared" si="2"/>
        <v>481.78562776324151</v>
      </c>
      <c r="I105"/>
      <c r="J105"/>
      <c r="K105"/>
    </row>
    <row r="106" spans="1:11" x14ac:dyDescent="0.2">
      <c r="A106" s="4" t="s">
        <v>109</v>
      </c>
      <c r="B106" s="10">
        <v>43239.971568139896</v>
      </c>
      <c r="C106" s="10">
        <v>113.44545136209845</v>
      </c>
      <c r="D106" s="3">
        <f t="shared" si="3"/>
        <v>38115.209599832531</v>
      </c>
      <c r="E106" s="3">
        <v>1.11E-2</v>
      </c>
      <c r="F106" s="16">
        <f t="shared" si="2"/>
        <v>423.07882655814109</v>
      </c>
      <c r="I106"/>
      <c r="J106"/>
      <c r="K106"/>
    </row>
    <row r="107" spans="1:11" x14ac:dyDescent="0.2">
      <c r="A107" s="4" t="s">
        <v>110</v>
      </c>
      <c r="B107" s="10">
        <v>46269.340228435765</v>
      </c>
      <c r="C107" s="10">
        <v>110.88720411689532</v>
      </c>
      <c r="D107" s="3">
        <f t="shared" si="3"/>
        <v>41726.491885988442</v>
      </c>
      <c r="E107" s="3">
        <v>1.0999999999999999E-2</v>
      </c>
      <c r="F107" s="16">
        <f t="shared" si="2"/>
        <v>458.99141074587283</v>
      </c>
      <c r="I107"/>
      <c r="J107"/>
      <c r="K107"/>
    </row>
    <row r="108" spans="1:11" x14ac:dyDescent="0.2">
      <c r="A108" s="4" t="s">
        <v>111</v>
      </c>
      <c r="B108" s="10">
        <v>49591.135231641696</v>
      </c>
      <c r="C108" s="10">
        <v>106.64099685536701</v>
      </c>
      <c r="D108" s="3">
        <f t="shared" si="3"/>
        <v>46502.880406210199</v>
      </c>
      <c r="E108" s="3">
        <v>1.15E-2</v>
      </c>
      <c r="F108" s="16">
        <f t="shared" si="2"/>
        <v>534.78312467141723</v>
      </c>
      <c r="I108"/>
      <c r="J108"/>
      <c r="K108"/>
    </row>
    <row r="109" spans="1:11" x14ac:dyDescent="0.2">
      <c r="A109" s="4" t="s">
        <v>112</v>
      </c>
      <c r="B109" s="10"/>
      <c r="C109" s="4"/>
      <c r="D109" s="3"/>
      <c r="E109" s="3"/>
      <c r="F109" s="16"/>
      <c r="I109"/>
      <c r="J109"/>
      <c r="K109"/>
    </row>
    <row r="110" spans="1:11" x14ac:dyDescent="0.2">
      <c r="I110"/>
      <c r="J110"/>
      <c r="K110"/>
    </row>
    <row r="111" spans="1:11" x14ac:dyDescent="0.2">
      <c r="I111"/>
      <c r="J111"/>
      <c r="K111"/>
    </row>
    <row r="112" spans="1:11" x14ac:dyDescent="0.2">
      <c r="I112"/>
      <c r="J112"/>
      <c r="K112"/>
    </row>
    <row r="113" spans="9:11" x14ac:dyDescent="0.2">
      <c r="I113"/>
      <c r="J113"/>
      <c r="K113"/>
    </row>
    <row r="114" spans="9:11" x14ac:dyDescent="0.2">
      <c r="I114"/>
      <c r="J114"/>
      <c r="K114"/>
    </row>
    <row r="115" spans="9:11" x14ac:dyDescent="0.2">
      <c r="I115"/>
      <c r="J115"/>
      <c r="K115"/>
    </row>
    <row r="116" spans="9:11" x14ac:dyDescent="0.2">
      <c r="I116"/>
      <c r="J116"/>
      <c r="K116"/>
    </row>
    <row r="117" spans="9:11" x14ac:dyDescent="0.2">
      <c r="I117"/>
      <c r="J117"/>
      <c r="K117"/>
    </row>
    <row r="118" spans="9:11" x14ac:dyDescent="0.2">
      <c r="I118"/>
      <c r="J118"/>
      <c r="K118"/>
    </row>
    <row r="119" spans="9:11" x14ac:dyDescent="0.2">
      <c r="I119"/>
      <c r="J119"/>
      <c r="K119"/>
    </row>
    <row r="120" spans="9:11" x14ac:dyDescent="0.2">
      <c r="I120"/>
      <c r="J120"/>
      <c r="K120"/>
    </row>
    <row r="121" spans="9:11" x14ac:dyDescent="0.2">
      <c r="I121"/>
      <c r="J121"/>
      <c r="K121"/>
    </row>
    <row r="122" spans="9:11" x14ac:dyDescent="0.2">
      <c r="I122"/>
      <c r="J122"/>
      <c r="K12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Hilmi, Hilman I B</dc:creator>
  <cp:lastModifiedBy>Hilmi, Hilman I B</cp:lastModifiedBy>
  <dcterms:created xsi:type="dcterms:W3CDTF">2025-02-17T11:20:41Z</dcterms:created>
  <dcterms:modified xsi:type="dcterms:W3CDTF">2025-04-10T09:42:29Z</dcterms:modified>
</cp:coreProperties>
</file>